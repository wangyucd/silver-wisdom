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520" activeTab="1"/>
  </bookViews>
  <sheets>
    <sheet name="Sheet1" sheetId="1" r:id="rId1"/>
    <sheet name="加班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<sst xmlns="http://schemas.openxmlformats.org/spreadsheetml/2006/main" count="136" uniqueCount="136">
  <si>
    <t>X为月薪</t>
  </si>
  <si>
    <t>项目</t>
  </si>
  <si>
    <t>金额</t>
  </si>
  <si>
    <t>N</t>
  </si>
  <si>
    <t>年假10天</t>
  </si>
  <si>
    <t>调休3天</t>
  </si>
  <si>
    <t>加班27.17 天</t>
  </si>
  <si>
    <t>考勤日期</t>
  </si>
  <si>
    <t>首打卡</t>
  </si>
  <si>
    <t>末打卡</t>
  </si>
  <si>
    <t>加班分钟数</t>
  </si>
  <si>
    <t>2026-03-24 08:49:00</t>
  </si>
  <si>
    <t>2026-03-24 21:30:00</t>
  </si>
  <si>
    <t>2026-03-17 08:47:00</t>
  </si>
  <si>
    <t>2026-03-17 21:30:00</t>
  </si>
  <si>
    <t>2026-03-10 08:49:00</t>
  </si>
  <si>
    <t>2026-03-10 21:30:00</t>
  </si>
  <si>
    <t>2026-03-05 08:51:00</t>
  </si>
  <si>
    <t>2026-03-05 21:30:00</t>
  </si>
  <si>
    <t>2026-02-05 08:49:00</t>
  </si>
  <si>
    <t>2026-02-05 21:31:00</t>
  </si>
  <si>
    <t>2026-02-03 08:34:00</t>
  </si>
  <si>
    <t>2026-02-03 21:30:00</t>
  </si>
  <si>
    <t>2026-01-29 08:44:00</t>
  </si>
  <si>
    <t>2026-01-29 21:30:00</t>
  </si>
  <si>
    <t>2026-01-27 08:51:00</t>
  </si>
  <si>
    <t>2026-01-27 21:30:00</t>
  </si>
  <si>
    <t>2026-01-20 08:57:00</t>
  </si>
  <si>
    <t>2026-01-20 21:30:00</t>
  </si>
  <si>
    <t>2026-01-15 08:49:00</t>
  </si>
  <si>
    <t>2026-01-15 21:30:00</t>
  </si>
  <si>
    <t>2026-01-13 08:48:00</t>
  </si>
  <si>
    <t>2026-01-13 21:30:00</t>
  </si>
  <si>
    <t>2026-01-08 08:40:00</t>
  </si>
  <si>
    <t>2026-01-08 21:30:00</t>
  </si>
  <si>
    <t>2026-01-06 08:40:00</t>
  </si>
  <si>
    <t>2026-01-06 21:30:00</t>
  </si>
  <si>
    <t>2025-12-30 08:48:00</t>
  </si>
  <si>
    <t>2025-12-30 21:30:00</t>
  </si>
  <si>
    <t>2025-12-25 08:35:00</t>
  </si>
  <si>
    <t>2025-12-25 21:36:00</t>
  </si>
  <si>
    <t>2025-12-18 08:46:00</t>
  </si>
  <si>
    <t>2025-12-18 21:30:00</t>
  </si>
  <si>
    <t>2025-12-16 08:48:00</t>
  </si>
  <si>
    <t>2025-12-16 21:30:00</t>
  </si>
  <si>
    <t>2025-12-11 08:41:00</t>
  </si>
  <si>
    <t>2025-12-11 21:30:00</t>
  </si>
  <si>
    <t>2025-12-09 21:30:00</t>
  </si>
  <si>
    <t>2025-12-04 08:13:00</t>
  </si>
  <si>
    <t>2025-12-04 21:30:00</t>
  </si>
  <si>
    <t>2025-12-02 08:32:00</t>
  </si>
  <si>
    <t>2025-12-02 21:30:00</t>
  </si>
  <si>
    <t>2025-11-27 08:39:00</t>
  </si>
  <si>
    <t>2025-11-27 21:30:00</t>
  </si>
  <si>
    <t>2025-11-25 08:48:00</t>
  </si>
  <si>
    <t>2025-11-25 21:30:00</t>
  </si>
  <si>
    <t>2025-11-20 08:35:00</t>
  </si>
  <si>
    <t>2025-11-20 21:30:00</t>
  </si>
  <si>
    <t>2025-11-18 08:51:00</t>
  </si>
  <si>
    <t>2025-11-18 21:30:00</t>
  </si>
  <si>
    <t>2025-11-13 08:27:00</t>
  </si>
  <si>
    <t>2025-11-13 21:30:00</t>
  </si>
  <si>
    <t>2025-11-11 08:37:00</t>
  </si>
  <si>
    <t>2025-11-11 21:30:00</t>
  </si>
  <si>
    <t>2025-11-06 08:45:00</t>
  </si>
  <si>
    <t>2025-11-06 21:30:00</t>
  </si>
  <si>
    <t>2025-10-30 08:43:00</t>
  </si>
  <si>
    <t>2025-10-30 21:30:00</t>
  </si>
  <si>
    <t>2025-10-28 08:49:00</t>
  </si>
  <si>
    <t>2025-10-28 21:30:00</t>
  </si>
  <si>
    <t>2025-10-23 08:42:00</t>
  </si>
  <si>
    <t>2025-10-23 21:31:00</t>
  </si>
  <si>
    <t>2025-10-21 08:48:00</t>
  </si>
  <si>
    <t>2025-10-21 21:30:00</t>
  </si>
  <si>
    <t>2025-10-16 08:44:00</t>
  </si>
  <si>
    <t>2025-10-16 21:30:00</t>
  </si>
  <si>
    <t>2025-10-14 08:48:00</t>
  </si>
  <si>
    <t>2025-10-14 21:31:00</t>
  </si>
  <si>
    <t>2025-10-09 08:46:00</t>
  </si>
  <si>
    <t>2025-10-09 21:30:00</t>
  </si>
  <si>
    <t>2025-09-25 08:44:00</t>
  </si>
  <si>
    <t>2025-09-25 21:30:00</t>
  </si>
  <si>
    <t>2025-09-23 08:38:00</t>
  </si>
  <si>
    <t>2025-09-23 21:30:00</t>
  </si>
  <si>
    <t>2025-09-18 08:44:00</t>
  </si>
  <si>
    <t>2025-09-18 21:30:00</t>
  </si>
  <si>
    <t>2025-09-16 08:43:00</t>
  </si>
  <si>
    <t>2025-09-16 21:31:00</t>
  </si>
  <si>
    <t>2025-09-11 08:50:00</t>
  </si>
  <si>
    <t>2025-09-11 21:30:00</t>
  </si>
  <si>
    <t>2025-09-09 08:47:00</t>
  </si>
  <si>
    <t>2025-09-09 21:30:00</t>
  </si>
  <si>
    <t>2025-09-04 08:45:00</t>
  </si>
  <si>
    <t>2025-09-04 21:30:00</t>
  </si>
  <si>
    <t>2025-08-28 08:55:00</t>
  </si>
  <si>
    <t>2025-08-28 21:30:00</t>
  </si>
  <si>
    <t>2025-08-26 08:36:00</t>
  </si>
  <si>
    <t>2025-08-26 21:30:00</t>
  </si>
  <si>
    <t>2025-07-31 08:43:00</t>
  </si>
  <si>
    <t>2025-07-31 21:30:00</t>
  </si>
  <si>
    <t>2025-07-24 08:41:00</t>
  </si>
  <si>
    <t>2025-07-24 21:30:00</t>
  </si>
  <si>
    <t>2025-07-17 08:37:00</t>
  </si>
  <si>
    <t>2025-07-17 21:30:00</t>
  </si>
  <si>
    <t>2025-07-15 08:56:00</t>
  </si>
  <si>
    <t>2025-07-15 21:30:00</t>
  </si>
  <si>
    <t>2025-07-10 08:44:00</t>
  </si>
  <si>
    <t>2025-07-10 21:31:00</t>
  </si>
  <si>
    <t>2025-07-08 08:31:00</t>
  </si>
  <si>
    <t>2025-07-08 21:30:00</t>
  </si>
  <si>
    <t>2025-07-01 08:31:00</t>
  </si>
  <si>
    <t>2025-07-01 21:31:00</t>
  </si>
  <si>
    <t>2025-06-26 08:58:00</t>
  </si>
  <si>
    <t>2025-06-26 21:30:00</t>
  </si>
  <si>
    <t>2025-06-24 08:56:00</t>
  </si>
  <si>
    <t>2025-06-24 21:30:00</t>
  </si>
  <si>
    <t>2025-06-19 07:36:00</t>
  </si>
  <si>
    <t>2025-06-19 21:31:00</t>
  </si>
  <si>
    <t>2025-06-10 08:53:00</t>
  </si>
  <si>
    <t>2025-06-10 21:30:00</t>
  </si>
  <si>
    <t>2025-06-05 08:29:00</t>
  </si>
  <si>
    <t>2025-06-05 21:30:00</t>
  </si>
  <si>
    <t>2025-06-03 08:42:00</t>
  </si>
  <si>
    <t>2025-06-03 21:30:00</t>
  </si>
  <si>
    <t>2025-05-29 08:20:00</t>
  </si>
  <si>
    <t>2025-05-29 21:30:00</t>
  </si>
  <si>
    <t>2025-05-27 08:59:00</t>
  </si>
  <si>
    <t>2025-05-27 21:30:00</t>
  </si>
  <si>
    <t>2025-05-22 08:54:00</t>
  </si>
  <si>
    <t>2025-05-22 21:35:00</t>
  </si>
  <si>
    <t>2025-05-15 08:52:00</t>
  </si>
  <si>
    <t>2025-05-15 21:31:00</t>
  </si>
  <si>
    <t>2025-05-06 09:00:00</t>
  </si>
  <si>
    <t>2025-05-06 21:31:00</t>
  </si>
  <si>
    <t>13040 分钟 ÷ 60 = 217.33 小时</t>
  </si>
  <si>
    <t>217.33 ÷ 8 = 27.17 天（约 27 天 2 小时）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</si>
</sst>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17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opLeftCell="A13" workbookViewId="0">
      <selection activeCell="B14" sqref="B14"/>
    </sheetView>
  </sheetViews>
  <sheetFormatPr defaultColWidth="9.23076923076923" defaultRowHeight="16.8" outlineLevelCol="2"/>
  <cols>
    <col min="1" max="2" width="34.9230769230769" style="4" customWidth="1"/>
    <col min="3" max="3" width="27.2403846153846" style="4" customWidth="1"/>
  </cols>
  <sheetData>
    <row r="1" ht="23.2" customHeight="1" spans="1:2">
      <c r="A1" s="5" t="s">
        <v>0</v>
      </c>
      <c r="B1" s="5">
        <v>20000</v>
      </c>
    </row>
    <row r="4" ht="23.2" customHeight="1" spans="1:3">
      <c r="A4" s="1" t="s">
        <v>1</v>
      </c>
      <c r="B4" s="1"/>
      <c r="C4" s="1" t="s">
        <v>2</v>
      </c>
    </row>
    <row r="5" ht="23.2" customHeight="1" spans="1:3">
      <c r="A5" s="1" t="s">
        <v>3</v>
      </c>
      <c r="B5" s="1">
        <f>B1/21.75/8</f>
        <v>114.942528735632</v>
      </c>
      <c r="C5" s="1"/>
    </row>
    <row r="6" ht="23.2" customHeight="1" spans="1:3">
      <c r="A6" s="1">
        <v>1</v>
      </c>
      <c r="B6" s="1">
        <f>B1</f>
        <v>20000</v>
      </c>
      <c r="C6" s="1"/>
    </row>
    <row r="7" ht="23.2" customHeight="1" spans="1:3">
      <c r="A7" s="1" t="s">
        <v>4</v>
      </c>
      <c r="B7" s="1">
        <f>10*B1/21.75</f>
        <v>9195.40229885057</v>
      </c>
      <c r="C7" s="1"/>
    </row>
    <row r="8" ht="23.2" customHeight="1" spans="1:3">
      <c r="A8" s="1" t="s">
        <v>5</v>
      </c>
      <c r="B8" s="1">
        <f>3*B1/21.75</f>
        <v>2758.62068965517</v>
      </c>
      <c r="C8" s="1"/>
    </row>
    <row r="9" ht="23.2" customHeight="1" spans="1:3">
      <c r="A9" s="1" t="s">
        <v>6</v>
      </c>
      <c r="B9" s="1">
        <f>SUM(加班明细!D:D)/480*B1/21.75</f>
        <v>24980.8429118774</v>
      </c>
      <c r="C9" s="1"/>
    </row>
    <row r="10" ht="23.2" customHeight="1" spans="1:3">
      <c r="A10" s="1"/>
      <c r="B10" s="1"/>
      <c r="C10" s="1"/>
    </row>
    <row r="11" ht="23.2" customHeight="1" spans="1:3">
      <c r="A11" s="1"/>
      <c r="B11" s="1"/>
      <c r="C11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tabSelected="1" topLeftCell="A45" workbookViewId="0">
      <selection activeCell="G65" sqref="G65"/>
    </sheetView>
  </sheetViews>
  <sheetFormatPr defaultColWidth="9" defaultRowHeight="23.2" outlineLevelCol="3"/>
  <cols>
    <col min="1" max="1" width="34.1346153846154" style="1" customWidth="1"/>
    <col min="2" max="2" width="32.8557692307692" style="1" customWidth="1"/>
    <col min="3" max="3" width="37.5" style="1" customWidth="1"/>
    <col min="4" max="4" width="37.1730769230769" style="1" customWidth="1"/>
    <col min="5" max="16384" width="9" style="2" customWidth="1"/>
  </cols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s="3">
        <v>46105</v>
      </c>
      <c r="B2" s="1" t="s">
        <v>11</v>
      </c>
      <c r="C2" s="1" t="s">
        <v>12</v>
      </c>
      <c r="D2" s="1">
        <v>210</v>
      </c>
    </row>
    <row r="3" spans="1:4">
      <c r="A3" s="3">
        <v>46098</v>
      </c>
      <c r="B3" s="1" t="s">
        <v>13</v>
      </c>
      <c r="C3" s="1" t="s">
        <v>14</v>
      </c>
      <c r="D3" s="1">
        <v>210</v>
      </c>
    </row>
    <row r="4" spans="1:4">
      <c r="A4" s="3">
        <v>46091</v>
      </c>
      <c r="B4" s="1" t="s">
        <v>15</v>
      </c>
      <c r="C4" s="1" t="s">
        <v>16</v>
      </c>
      <c r="D4" s="1">
        <v>210</v>
      </c>
    </row>
    <row r="5" spans="1:4">
      <c r="A5" s="3">
        <v>46086</v>
      </c>
      <c r="B5" s="1" t="s">
        <v>17</v>
      </c>
      <c r="C5" s="1" t="s">
        <v>18</v>
      </c>
      <c r="D5" s="1">
        <v>210</v>
      </c>
    </row>
    <row r="6" spans="1:4">
      <c r="A6" s="3">
        <v>46058</v>
      </c>
      <c r="B6" s="1" t="s">
        <v>19</v>
      </c>
      <c r="C6" s="1" t="s">
        <v>20</v>
      </c>
      <c r="D6" s="1">
        <v>211</v>
      </c>
    </row>
    <row r="7" spans="1:4">
      <c r="A7" s="3">
        <v>46056</v>
      </c>
      <c r="B7" s="1" t="s">
        <v>21</v>
      </c>
      <c r="C7" s="1" t="s">
        <v>22</v>
      </c>
      <c r="D7" s="1">
        <v>210</v>
      </c>
    </row>
    <row r="8" spans="1:4">
      <c r="A8" s="3">
        <v>46051</v>
      </c>
      <c r="B8" s="1" t="s">
        <v>23</v>
      </c>
      <c r="C8" s="1" t="s">
        <v>24</v>
      </c>
      <c r="D8" s="1">
        <v>210</v>
      </c>
    </row>
    <row r="9" spans="1:4">
      <c r="A9" s="3">
        <v>46049</v>
      </c>
      <c r="B9" s="1" t="s">
        <v>25</v>
      </c>
      <c r="C9" s="1" t="s">
        <v>26</v>
      </c>
      <c r="D9" s="1">
        <v>210</v>
      </c>
    </row>
    <row r="10" spans="1:4">
      <c r="A10" s="3">
        <v>46042</v>
      </c>
      <c r="B10" s="1" t="s">
        <v>27</v>
      </c>
      <c r="C10" s="1" t="s">
        <v>28</v>
      </c>
      <c r="D10" s="1">
        <v>210</v>
      </c>
    </row>
    <row r="11" spans="1:4">
      <c r="A11" s="3">
        <v>46037</v>
      </c>
      <c r="B11" s="1" t="s">
        <v>29</v>
      </c>
      <c r="C11" s="1" t="s">
        <v>30</v>
      </c>
      <c r="D11" s="1">
        <v>210</v>
      </c>
    </row>
    <row r="12" spans="1:4">
      <c r="A12" s="3">
        <v>46035</v>
      </c>
      <c r="B12" s="1" t="s">
        <v>31</v>
      </c>
      <c r="C12" s="1" t="s">
        <v>32</v>
      </c>
      <c r="D12" s="1">
        <v>210</v>
      </c>
    </row>
    <row r="13" spans="1:4">
      <c r="A13" s="3">
        <v>46030</v>
      </c>
      <c r="B13" s="1" t="s">
        <v>33</v>
      </c>
      <c r="C13" s="1" t="s">
        <v>34</v>
      </c>
      <c r="D13" s="1">
        <v>210</v>
      </c>
    </row>
    <row r="14" spans="1:4">
      <c r="A14" s="3">
        <v>46028</v>
      </c>
      <c r="B14" s="1" t="s">
        <v>35</v>
      </c>
      <c r="C14" s="1" t="s">
        <v>36</v>
      </c>
      <c r="D14" s="1">
        <v>210</v>
      </c>
    </row>
    <row r="15" spans="1:4">
      <c r="A15" s="3">
        <v>46021</v>
      </c>
      <c r="B15" s="1" t="s">
        <v>37</v>
      </c>
      <c r="C15" s="1" t="s">
        <v>38</v>
      </c>
      <c r="D15" s="1">
        <v>210</v>
      </c>
    </row>
    <row r="16" spans="1:4">
      <c r="A16" s="3">
        <v>46016</v>
      </c>
      <c r="B16" s="1" t="s">
        <v>39</v>
      </c>
      <c r="C16" s="1" t="s">
        <v>40</v>
      </c>
      <c r="D16" s="1">
        <v>216</v>
      </c>
    </row>
    <row r="17" spans="1:4">
      <c r="A17" s="3">
        <v>46009</v>
      </c>
      <c r="B17" s="1" t="s">
        <v>41</v>
      </c>
      <c r="C17" s="1" t="s">
        <v>42</v>
      </c>
      <c r="D17" s="1">
        <v>210</v>
      </c>
    </row>
    <row r="18" spans="1:4">
      <c r="A18" s="3">
        <v>46007</v>
      </c>
      <c r="B18" s="1" t="s">
        <v>43</v>
      </c>
      <c r="C18" s="1" t="s">
        <v>44</v>
      </c>
      <c r="D18" s="1">
        <v>210</v>
      </c>
    </row>
    <row r="19" spans="1:4">
      <c r="A19" s="3">
        <v>46002</v>
      </c>
      <c r="B19" s="1" t="s">
        <v>45</v>
      </c>
      <c r="C19" s="1" t="s">
        <v>46</v>
      </c>
      <c r="D19" s="1">
        <v>210</v>
      </c>
    </row>
    <row r="20" spans="1:4">
      <c r="A20" s="3">
        <v>46000</v>
      </c>
      <c r="B20" s="3">
        <v>46000.375</v>
      </c>
      <c r="C20" s="1" t="s">
        <v>47</v>
      </c>
      <c r="D20" s="1">
        <v>210</v>
      </c>
    </row>
    <row r="21" spans="1:4">
      <c r="A21" s="3">
        <v>45995</v>
      </c>
      <c r="B21" s="1" t="s">
        <v>48</v>
      </c>
      <c r="C21" s="1" t="s">
        <v>49</v>
      </c>
      <c r="D21" s="1">
        <v>210</v>
      </c>
    </row>
    <row r="22" spans="1:4">
      <c r="A22" s="3">
        <v>45993</v>
      </c>
      <c r="B22" s="1" t="s">
        <v>50</v>
      </c>
      <c r="C22" s="1" t="s">
        <v>51</v>
      </c>
      <c r="D22" s="1">
        <v>210</v>
      </c>
    </row>
    <row r="23" spans="1:4">
      <c r="A23" s="3">
        <v>45988</v>
      </c>
      <c r="B23" s="1" t="s">
        <v>52</v>
      </c>
      <c r="C23" s="1" t="s">
        <v>53</v>
      </c>
      <c r="D23" s="1">
        <v>210</v>
      </c>
    </row>
    <row r="24" spans="1:4">
      <c r="A24" s="3">
        <v>45986</v>
      </c>
      <c r="B24" s="1" t="s">
        <v>54</v>
      </c>
      <c r="C24" s="1" t="s">
        <v>55</v>
      </c>
      <c r="D24" s="1">
        <v>210</v>
      </c>
    </row>
    <row r="25" spans="1:4">
      <c r="A25" s="3">
        <v>45981</v>
      </c>
      <c r="B25" s="1" t="s">
        <v>56</v>
      </c>
      <c r="C25" s="1" t="s">
        <v>57</v>
      </c>
      <c r="D25" s="1">
        <v>210</v>
      </c>
    </row>
    <row r="26" spans="1:4">
      <c r="A26" s="3">
        <v>45979</v>
      </c>
      <c r="B26" s="1" t="s">
        <v>58</v>
      </c>
      <c r="C26" s="1" t="s">
        <v>59</v>
      </c>
      <c r="D26" s="1">
        <v>210</v>
      </c>
    </row>
    <row r="27" spans="1:4">
      <c r="A27" s="3">
        <v>45974</v>
      </c>
      <c r="B27" s="1" t="s">
        <v>60</v>
      </c>
      <c r="C27" s="1" t="s">
        <v>61</v>
      </c>
      <c r="D27" s="1">
        <v>210</v>
      </c>
    </row>
    <row r="28" spans="1:4">
      <c r="A28" s="3">
        <v>45972</v>
      </c>
      <c r="B28" s="1" t="s">
        <v>62</v>
      </c>
      <c r="C28" s="1" t="s">
        <v>63</v>
      </c>
      <c r="D28" s="1">
        <v>210</v>
      </c>
    </row>
    <row r="29" spans="1:4">
      <c r="A29" s="3">
        <v>45967</v>
      </c>
      <c r="B29" s="1" t="s">
        <v>64</v>
      </c>
      <c r="C29" s="1" t="s">
        <v>65</v>
      </c>
      <c r="D29" s="1">
        <v>210</v>
      </c>
    </row>
    <row r="30" spans="1:4">
      <c r="A30" s="3">
        <v>45960</v>
      </c>
      <c r="B30" s="1" t="s">
        <v>66</v>
      </c>
      <c r="C30" s="1" t="s">
        <v>67</v>
      </c>
      <c r="D30" s="1">
        <v>210</v>
      </c>
    </row>
    <row r="31" spans="1:4">
      <c r="A31" s="3">
        <v>45958</v>
      </c>
      <c r="B31" s="1" t="s">
        <v>68</v>
      </c>
      <c r="C31" s="1" t="s">
        <v>69</v>
      </c>
      <c r="D31" s="1">
        <v>210</v>
      </c>
    </row>
    <row r="32" spans="1:4">
      <c r="A32" s="3">
        <v>45953</v>
      </c>
      <c r="B32" s="1" t="s">
        <v>70</v>
      </c>
      <c r="C32" s="1" t="s">
        <v>71</v>
      </c>
      <c r="D32" s="1">
        <v>211</v>
      </c>
    </row>
    <row r="33" spans="1:4">
      <c r="A33" s="3">
        <v>45951</v>
      </c>
      <c r="B33" s="1" t="s">
        <v>72</v>
      </c>
      <c r="C33" s="1" t="s">
        <v>73</v>
      </c>
      <c r="D33" s="1">
        <v>210</v>
      </c>
    </row>
    <row r="34" spans="1:4">
      <c r="A34" s="3">
        <v>45946</v>
      </c>
      <c r="B34" s="1" t="s">
        <v>74</v>
      </c>
      <c r="C34" s="1" t="s">
        <v>75</v>
      </c>
      <c r="D34" s="1">
        <v>210</v>
      </c>
    </row>
    <row r="35" spans="1:4">
      <c r="A35" s="3">
        <v>45944</v>
      </c>
      <c r="B35" s="1" t="s">
        <v>76</v>
      </c>
      <c r="C35" s="1" t="s">
        <v>77</v>
      </c>
      <c r="D35" s="1">
        <v>211</v>
      </c>
    </row>
    <row r="36" spans="1:4">
      <c r="A36" s="3">
        <v>45939</v>
      </c>
      <c r="B36" s="1" t="s">
        <v>78</v>
      </c>
      <c r="C36" s="1" t="s">
        <v>79</v>
      </c>
      <c r="D36" s="1">
        <v>210</v>
      </c>
    </row>
    <row r="37" spans="1:4">
      <c r="A37" s="3">
        <v>45925</v>
      </c>
      <c r="B37" s="1" t="s">
        <v>80</v>
      </c>
      <c r="C37" s="1" t="s">
        <v>81</v>
      </c>
      <c r="D37" s="1">
        <v>210</v>
      </c>
    </row>
    <row r="38" spans="1:4">
      <c r="A38" s="3">
        <v>45923</v>
      </c>
      <c r="B38" s="1" t="s">
        <v>82</v>
      </c>
      <c r="C38" s="1" t="s">
        <v>83</v>
      </c>
      <c r="D38" s="1">
        <v>210</v>
      </c>
    </row>
    <row r="39" spans="1:4">
      <c r="A39" s="3">
        <v>45918</v>
      </c>
      <c r="B39" s="1" t="s">
        <v>84</v>
      </c>
      <c r="C39" s="1" t="s">
        <v>85</v>
      </c>
      <c r="D39" s="1">
        <v>210</v>
      </c>
    </row>
    <row r="40" spans="1:4">
      <c r="A40" s="3">
        <v>45916</v>
      </c>
      <c r="B40" s="1" t="s">
        <v>86</v>
      </c>
      <c r="C40" s="1" t="s">
        <v>87</v>
      </c>
      <c r="D40" s="1">
        <v>211</v>
      </c>
    </row>
    <row r="41" spans="1:4">
      <c r="A41" s="3">
        <v>45911</v>
      </c>
      <c r="B41" s="1" t="s">
        <v>88</v>
      </c>
      <c r="C41" s="1" t="s">
        <v>89</v>
      </c>
      <c r="D41" s="1">
        <v>210</v>
      </c>
    </row>
    <row r="42" spans="1:4">
      <c r="A42" s="3">
        <v>45909</v>
      </c>
      <c r="B42" s="1" t="s">
        <v>90</v>
      </c>
      <c r="C42" s="1" t="s">
        <v>91</v>
      </c>
      <c r="D42" s="1">
        <v>210</v>
      </c>
    </row>
    <row r="43" spans="1:4">
      <c r="A43" s="3">
        <v>45904</v>
      </c>
      <c r="B43" s="1" t="s">
        <v>92</v>
      </c>
      <c r="C43" s="1" t="s">
        <v>93</v>
      </c>
      <c r="D43" s="1">
        <v>210</v>
      </c>
    </row>
    <row r="44" spans="1:4">
      <c r="A44" s="3">
        <v>45897</v>
      </c>
      <c r="B44" s="1" t="s">
        <v>94</v>
      </c>
      <c r="C44" s="1" t="s">
        <v>95</v>
      </c>
      <c r="D44" s="1">
        <v>210</v>
      </c>
    </row>
    <row r="45" spans="1:4">
      <c r="A45" s="3">
        <v>45895</v>
      </c>
      <c r="B45" s="1" t="s">
        <v>96</v>
      </c>
      <c r="C45" s="1" t="s">
        <v>97</v>
      </c>
      <c r="D45" s="1">
        <v>210</v>
      </c>
    </row>
    <row r="46" spans="1:4">
      <c r="A46" s="3">
        <v>45869</v>
      </c>
      <c r="B46" s="1" t="s">
        <v>98</v>
      </c>
      <c r="C46" s="1" t="s">
        <v>99</v>
      </c>
      <c r="D46" s="1">
        <v>210</v>
      </c>
    </row>
    <row r="47" spans="1:4">
      <c r="A47" s="3">
        <v>45862</v>
      </c>
      <c r="B47" s="1" t="s">
        <v>100</v>
      </c>
      <c r="C47" s="1" t="s">
        <v>101</v>
      </c>
      <c r="D47" s="1">
        <v>210</v>
      </c>
    </row>
    <row r="48" spans="1:4">
      <c r="A48" s="3">
        <v>45855</v>
      </c>
      <c r="B48" s="1" t="s">
        <v>102</v>
      </c>
      <c r="C48" s="1" t="s">
        <v>103</v>
      </c>
      <c r="D48" s="1">
        <v>210</v>
      </c>
    </row>
    <row r="49" spans="1:4">
      <c r="A49" s="3">
        <v>45853</v>
      </c>
      <c r="B49" s="1" t="s">
        <v>104</v>
      </c>
      <c r="C49" s="1" t="s">
        <v>105</v>
      </c>
      <c r="D49" s="1">
        <v>210</v>
      </c>
    </row>
    <row r="50" spans="1:4">
      <c r="A50" s="3">
        <v>45848</v>
      </c>
      <c r="B50" s="1" t="s">
        <v>106</v>
      </c>
      <c r="C50" s="1" t="s">
        <v>107</v>
      </c>
      <c r="D50" s="1">
        <v>211</v>
      </c>
    </row>
    <row r="51" spans="1:4">
      <c r="A51" s="3">
        <v>45846</v>
      </c>
      <c r="B51" s="1" t="s">
        <v>108</v>
      </c>
      <c r="C51" s="1" t="s">
        <v>109</v>
      </c>
      <c r="D51" s="1">
        <v>210</v>
      </c>
    </row>
    <row r="52" spans="1:4">
      <c r="A52" s="3">
        <v>45839</v>
      </c>
      <c r="B52" s="1" t="s">
        <v>110</v>
      </c>
      <c r="C52" s="1" t="s">
        <v>111</v>
      </c>
      <c r="D52" s="1">
        <v>211</v>
      </c>
    </row>
    <row r="53" spans="1:4">
      <c r="A53" s="3">
        <v>45834</v>
      </c>
      <c r="B53" s="1" t="s">
        <v>112</v>
      </c>
      <c r="C53" s="1" t="s">
        <v>113</v>
      </c>
      <c r="D53" s="1">
        <v>210</v>
      </c>
    </row>
    <row r="54" spans="1:4">
      <c r="A54" s="3">
        <v>45832</v>
      </c>
      <c r="B54" s="1" t="s">
        <v>114</v>
      </c>
      <c r="C54" s="1" t="s">
        <v>115</v>
      </c>
      <c r="D54" s="1">
        <v>210</v>
      </c>
    </row>
    <row r="55" spans="1:4">
      <c r="A55" s="3">
        <v>45827</v>
      </c>
      <c r="B55" s="1" t="s">
        <v>116</v>
      </c>
      <c r="C55" s="1" t="s">
        <v>117</v>
      </c>
      <c r="D55" s="1">
        <v>211</v>
      </c>
    </row>
    <row r="56" spans="1:4">
      <c r="A56" s="3">
        <v>45818</v>
      </c>
      <c r="B56" s="1" t="s">
        <v>118</v>
      </c>
      <c r="C56" s="1" t="s">
        <v>119</v>
      </c>
      <c r="D56" s="1">
        <v>210</v>
      </c>
    </row>
    <row r="57" spans="1:4">
      <c r="A57" s="3">
        <v>45813</v>
      </c>
      <c r="B57" s="1" t="s">
        <v>120</v>
      </c>
      <c r="C57" s="1" t="s">
        <v>121</v>
      </c>
      <c r="D57" s="1">
        <v>210</v>
      </c>
    </row>
    <row r="58" spans="1:4">
      <c r="A58" s="3">
        <v>45811</v>
      </c>
      <c r="B58" s="1" t="s">
        <v>122</v>
      </c>
      <c r="C58" s="1" t="s">
        <v>123</v>
      </c>
      <c r="D58" s="1">
        <v>210</v>
      </c>
    </row>
    <row r="59" spans="1:4">
      <c r="A59" s="3">
        <v>45806</v>
      </c>
      <c r="B59" s="1" t="s">
        <v>124</v>
      </c>
      <c r="C59" s="1" t="s">
        <v>125</v>
      </c>
      <c r="D59" s="1">
        <v>210</v>
      </c>
    </row>
    <row r="60" spans="1:4">
      <c r="A60" s="3">
        <v>45804</v>
      </c>
      <c r="B60" s="1" t="s">
        <v>126</v>
      </c>
      <c r="C60" s="1" t="s">
        <v>127</v>
      </c>
      <c r="D60" s="1">
        <v>210</v>
      </c>
    </row>
    <row r="61" spans="1:4">
      <c r="A61" s="3">
        <v>45799</v>
      </c>
      <c r="B61" s="1" t="s">
        <v>128</v>
      </c>
      <c r="C61" s="1" t="s">
        <v>129</v>
      </c>
      <c r="D61" s="1">
        <v>215</v>
      </c>
    </row>
    <row r="62" spans="1:4">
      <c r="A62" s="3">
        <v>45792</v>
      </c>
      <c r="B62" s="1" t="s">
        <v>130</v>
      </c>
      <c r="C62" s="1" t="s">
        <v>131</v>
      </c>
      <c r="D62" s="1">
        <v>211</v>
      </c>
    </row>
    <row r="63" spans="1:4">
      <c r="A63" s="3">
        <v>45783</v>
      </c>
      <c r="B63" s="1" t="s">
        <v>132</v>
      </c>
      <c r="C63" s="1" t="s">
        <v>133</v>
      </c>
      <c r="D63" s="1">
        <v>211</v>
      </c>
    </row>
    <row r="69" spans="1:1">
      <c r="A69" s="1" t="s">
        <v>134</v>
      </c>
    </row>
    <row r="70" spans="1:1">
      <c r="A70" s="1" t="s">
        <v>135</v>
      </c>
    </row>
  </sheetData>
  <mergeCells count="2">
    <mergeCell ref="A69:D69"/>
    <mergeCell ref="A70:D7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加班明细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wangyu</dc:creator>
  <cp:lastModifiedBy>lm</cp:lastModifiedBy>
  <dcterms:created xsi:type="dcterms:W3CDTF">2026-04-23T08:51:00Z</dcterms:created>
  <dcterms:modified xsi:type="dcterms:W3CDTF">2026-04-25T07:46:38Z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D086D2505195BF7E2D8CE86998D15B7A_41</vt:lpwstr>
  </property>
  <property fmtid="{D5CDD505-2E9C-101B-9397-08002B2CF9AE}" pid="3" name="KSOProductBuildVer">
    <vt:lpwstr>2052-7.2.2.8955</vt:lpwstr>
  </property>
</Properties>
</file>